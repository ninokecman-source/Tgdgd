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visibility="visible" minimized="0" showHorizontalScroll="1" showVerticalScroll="1" showSheetTabs="1" xWindow="2268" yWindow="2268" windowWidth="19104" windowHeight="9960" tabRatio="500" firstSheet="0" activeTab="0" autoFilterDateGrouping="1"/>
  </bookViews>
  <sheets>
    <sheet name="podac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_ [$€-2]\ * #,##0.00_ ;_ [$€-2]\ * \-#,##0.00_ ;_ [$€-2]\ * &quot;-&quot;??_ ;_ @_ "/>
    <numFmt numFmtId="165" formatCode="_-* #,##0.00\ [$kn-41A]_-;\-* #,##0.00\ [$kn-41A]_-;_-* &quot;-&quot;??\ [$kn-41A]_-;_-@_-"/>
    <numFmt numFmtId="166" formatCode="_-* #,##0.00_-;\-* #,##0.00_-;_-* &quot;-&quot;??_-;_-@_-"/>
    <numFmt numFmtId="167" formatCode="#,##0.00\ [$HRK]"/>
    <numFmt numFmtId="168" formatCode="#,##0.00\ [$EUR]"/>
  </numFmts>
  <fonts count="32">
    <font>
      <name val="Verdana"/>
      <sz val="10"/>
    </font>
    <font>
      <name val="Verdana"/>
      <family val="2"/>
      <sz val="10"/>
    </font>
    <font>
      <name val="Verdana"/>
      <family val="2"/>
      <color indexed="12"/>
      <sz val="10"/>
      <u val="single"/>
    </font>
    <font>
      <name val="Verdana"/>
      <family val="2"/>
      <b val="1"/>
      <color indexed="18"/>
      <sz val="24"/>
      <u val="single"/>
    </font>
    <font>
      <name val="Verdana"/>
      <family val="2"/>
      <sz val="14"/>
    </font>
    <font>
      <name val="Verdana"/>
      <family val="2"/>
      <sz val="16"/>
    </font>
    <font>
      <name val="Times New Roman"/>
      <family val="1"/>
      <sz val="18"/>
    </font>
    <font>
      <name val="Times New Roman"/>
      <family val="1"/>
      <b val="1"/>
      <i val="1"/>
      <sz val="18"/>
    </font>
    <font>
      <name val="Verdana"/>
      <family val="2"/>
      <sz val="8"/>
    </font>
    <font>
      <name val="Verdana"/>
      <family val="2"/>
      <sz val="20"/>
    </font>
    <font>
      <name val="Times New Roman"/>
      <family val="1"/>
      <b val="1"/>
      <i val="1"/>
      <sz val="14"/>
    </font>
    <font>
      <name val="Verdana"/>
      <family val="2"/>
      <b val="1"/>
      <sz val="20"/>
      <u val="single"/>
    </font>
    <font>
      <name val="Arial"/>
      <family val="2"/>
      <sz val="24"/>
    </font>
    <font>
      <name val="Verdana"/>
      <family val="2"/>
      <sz val="12"/>
    </font>
    <font>
      <name val="Arial"/>
      <family val="2"/>
      <sz val="22"/>
    </font>
    <font>
      <name val="Verdana"/>
      <family val="2"/>
      <sz val="18"/>
    </font>
    <font>
      <name val="Calibri"/>
      <family val="2"/>
      <b val="1"/>
      <color indexed="8"/>
      <sz val="18"/>
    </font>
    <font>
      <name val="Verdana"/>
      <family val="2"/>
      <b val="1"/>
      <sz val="18"/>
    </font>
    <font>
      <name val="Verdana"/>
      <charset val="238"/>
      <family val="2"/>
      <sz val="18"/>
    </font>
    <font>
      <name val="Calibri"/>
      <family val="2"/>
      <sz val="18"/>
      <scheme val="minor"/>
    </font>
    <font>
      <name val="Calibri"/>
      <family val="2"/>
      <color indexed="8"/>
      <sz val="18"/>
      <scheme val="minor"/>
    </font>
    <font>
      <name val="Verdana"/>
      <family val="2"/>
      <b val="1"/>
      <color rgb="FF002060"/>
      <sz val="28"/>
      <u val="single"/>
    </font>
    <font>
      <name val="Verdana"/>
      <family val="2"/>
      <b val="1"/>
      <color rgb="FF002060"/>
      <sz val="24"/>
      <u val="single"/>
    </font>
    <font>
      <name val="Verdana"/>
      <family val="2"/>
      <color rgb="FF002060"/>
      <sz val="10"/>
      <u val="single"/>
    </font>
    <font>
      <name val="Verdana"/>
      <family val="2"/>
      <color rgb="FF002060"/>
      <sz val="10"/>
    </font>
    <font>
      <name val="Calibri"/>
      <family val="2"/>
      <b val="1"/>
      <color indexed="8"/>
      <sz val="18"/>
      <scheme val="minor"/>
    </font>
    <font>
      <name val="Arial"/>
      <family val="2"/>
      <color rgb="FF555555"/>
      <sz val="14"/>
    </font>
    <font>
      <name val="Calibri"/>
      <family val="2"/>
      <b val="1"/>
      <color rgb="FFFF0000"/>
      <sz val="24"/>
      <scheme val="minor"/>
    </font>
    <font>
      <name val="Calibri"/>
      <family val="2"/>
      <color indexed="18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color indexed="12"/>
      <sz val="18"/>
      <u val="single"/>
      <scheme val="minor"/>
    </font>
    <font>
      <name val="Verdana"/>
      <family val="2"/>
      <color indexed="12"/>
      <sz val="18"/>
      <u val="single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 applyAlignment="1" applyProtection="1">
      <alignment vertical="top"/>
      <protection locked="0" hidden="0"/>
    </xf>
    <xf numFmtId="0" fontId="1" fillId="0" borderId="0"/>
  </cellStyleXfs>
  <cellXfs count="149">
    <xf numFmtId="0" fontId="0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4" fillId="0" borderId="0" pivotButton="0" quotePrefix="0" xfId="0"/>
    <xf numFmtId="22" fontId="1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/>
    </xf>
    <xf numFmtId="0" fontId="13" fillId="0" borderId="0" pivotButton="0" quotePrefix="0" xfId="0"/>
    <xf numFmtId="0" fontId="14" fillId="3" borderId="15" applyAlignment="1" pivotButton="0" quotePrefix="0" xfId="1">
      <alignment horizontal="left" vertical="center" shrinkToFit="1"/>
    </xf>
    <xf numFmtId="0" fontId="14" fillId="3" borderId="16" applyAlignment="1" pivotButton="0" quotePrefix="0" xfId="1">
      <alignment horizontal="left" vertical="center" shrinkToFit="1"/>
    </xf>
    <xf numFmtId="0" fontId="15" fillId="0" borderId="13" pivotButton="0" quotePrefix="0" xfId="0"/>
    <xf numFmtId="0" fontId="16" fillId="0" borderId="17" pivotButton="0" quotePrefix="0" xfId="0"/>
    <xf numFmtId="0" fontId="19" fillId="0" borderId="13" pivotButton="0" quotePrefix="0" xfId="0"/>
    <xf numFmtId="0" fontId="20" fillId="0" borderId="13" pivotButton="0" quotePrefix="0" xfId="0"/>
    <xf numFmtId="0" fontId="21" fillId="0" borderId="0" applyAlignment="1" pivotButton="0" quotePrefix="0" xfId="0">
      <alignment horizontal="left" vertical="center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164" fontId="0" fillId="0" borderId="0" pivotButton="0" quotePrefix="0" xfId="0"/>
    <xf numFmtId="164" fontId="13" fillId="0" borderId="0" pivotButton="0" quotePrefix="0" xfId="0"/>
    <xf numFmtId="0" fontId="15" fillId="0" borderId="19" pivotButton="0" quotePrefix="0" xfId="0"/>
    <xf numFmtId="0" fontId="16" fillId="0" borderId="0" pivotButton="0" quotePrefix="0" xfId="0"/>
    <xf numFmtId="164" fontId="25" fillId="0" borderId="0" pivotButton="0" quotePrefix="0" xfId="0"/>
    <xf numFmtId="0" fontId="20" fillId="0" borderId="19" pivotButton="0" quotePrefix="0" xfId="0"/>
    <xf numFmtId="0" fontId="25" fillId="0" borderId="0" pivotButton="0" quotePrefix="0" xfId="0"/>
    <xf numFmtId="0" fontId="19" fillId="0" borderId="19" pivotButton="0" quotePrefix="0" xfId="0"/>
    <xf numFmtId="0" fontId="20" fillId="0" borderId="20" pivotButton="0" quotePrefix="0" xfId="0"/>
    <xf numFmtId="0" fontId="15" fillId="0" borderId="21" pivotButton="0" quotePrefix="0" xfId="0"/>
    <xf numFmtId="0" fontId="19" fillId="0" borderId="17" pivotButton="0" quotePrefix="0" xfId="0"/>
    <xf numFmtId="0" fontId="19" fillId="0" borderId="22" pivotButton="0" quotePrefix="0" xfId="0"/>
    <xf numFmtId="0" fontId="19" fillId="0" borderId="20" pivotButton="0" quotePrefix="0" xfId="0"/>
    <xf numFmtId="2" fontId="12" fillId="0" borderId="27" applyAlignment="1" pivotButton="0" quotePrefix="0" xfId="0">
      <alignment horizontal="center" vertical="center" shrinkToFit="1"/>
    </xf>
    <xf numFmtId="0" fontId="17" fillId="0" borderId="28" pivotButton="0" quotePrefix="0" xfId="0"/>
    <xf numFmtId="0" fontId="15" fillId="0" borderId="28" pivotButton="0" quotePrefix="0" xfId="0"/>
    <xf numFmtId="0" fontId="15" fillId="0" borderId="22" pivotButton="0" quotePrefix="0" xfId="0"/>
    <xf numFmtId="165" fontId="15" fillId="0" borderId="22" pivotButton="0" quotePrefix="0" xfId="0"/>
    <xf numFmtId="0" fontId="18" fillId="0" borderId="21" pivotButton="0" quotePrefix="0" xfId="0"/>
    <xf numFmtId="0" fontId="26" fillId="0" borderId="0" pivotButton="0" quotePrefix="0" xfId="0"/>
    <xf numFmtId="0" fontId="2" fillId="0" borderId="0" pivotButton="0" quotePrefix="0" xfId="1"/>
    <xf numFmtId="49" fontId="0" fillId="0" borderId="0" pivotButton="0" quotePrefix="0" xfId="0"/>
    <xf numFmtId="49" fontId="6" fillId="0" borderId="0" pivotButton="0" quotePrefix="0" xfId="0"/>
    <xf numFmtId="0" fontId="27" fillId="0" borderId="6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9" fillId="0" borderId="5" applyAlignment="1" pivotButton="0" quotePrefix="0" xfId="0">
      <alignment horizontal="right" vertical="center"/>
    </xf>
    <xf numFmtId="0" fontId="19" fillId="0" borderId="3" applyAlignment="1" pivotButton="0" quotePrefix="0" xfId="0">
      <alignment horizontal="center" vertical="center"/>
    </xf>
    <xf numFmtId="0" fontId="19" fillId="0" borderId="6" applyAlignment="1" pivotButton="0" quotePrefix="0" xfId="0">
      <alignment horizontal="right" vertical="center"/>
    </xf>
    <xf numFmtId="0" fontId="19" fillId="0" borderId="4" applyAlignment="1" pivotButton="0" quotePrefix="0" xfId="0">
      <alignment horizontal="center" vertical="center"/>
    </xf>
    <xf numFmtId="0" fontId="19" fillId="0" borderId="8" applyAlignment="1" pivotButton="0" quotePrefix="0" xfId="0">
      <alignment horizontal="right" vertical="center"/>
    </xf>
    <xf numFmtId="0" fontId="19" fillId="0" borderId="1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0" fontId="19" fillId="0" borderId="10" applyAlignment="1" pivotButton="0" quotePrefix="0" xfId="0">
      <alignment horizontal="left"/>
    </xf>
    <xf numFmtId="0" fontId="19" fillId="0" borderId="11" applyAlignment="1" pivotButton="0" quotePrefix="0" xfId="0">
      <alignment horizontal="left"/>
    </xf>
    <xf numFmtId="164" fontId="19" fillId="0" borderId="18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49" fontId="19" fillId="0" borderId="0" pivotButton="0" quotePrefix="0" xfId="0"/>
    <xf numFmtId="164" fontId="19" fillId="0" borderId="0" pivotButton="0" quotePrefix="0" xfId="0"/>
    <xf numFmtId="0" fontId="28" fillId="2" borderId="7" applyAlignment="1" pivotButton="0" quotePrefix="0" xfId="0">
      <alignment horizontal="center" vertical="center" wrapText="1"/>
    </xf>
    <xf numFmtId="0" fontId="29" fillId="2" borderId="23" applyAlignment="1" pivotButton="0" quotePrefix="0" xfId="0">
      <alignment horizontal="left" vertical="center"/>
    </xf>
    <xf numFmtId="0" fontId="29" fillId="2" borderId="24" applyAlignment="1" pivotButton="0" quotePrefix="0" xfId="0">
      <alignment horizontal="left" vertical="center"/>
    </xf>
    <xf numFmtId="0" fontId="29" fillId="2" borderId="24" applyAlignment="1" pivotButton="0" quotePrefix="0" xfId="0">
      <alignment horizontal="left" vertical="center" wrapText="1"/>
    </xf>
    <xf numFmtId="49" fontId="29" fillId="2" borderId="24" applyAlignment="1" pivotButton="0" quotePrefix="0" xfId="0">
      <alignment horizontal="left" vertical="center" wrapText="1"/>
    </xf>
    <xf numFmtId="164" fontId="19" fillId="2" borderId="25" applyAlignment="1" pivotButton="0" quotePrefix="0" xfId="0">
      <alignment horizontal="left" vertical="center" wrapText="1"/>
    </xf>
    <xf numFmtId="0" fontId="19" fillId="2" borderId="26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9" fillId="0" borderId="36" applyAlignment="1" pivotButton="0" quotePrefix="0" xfId="0">
      <alignment horizontal="left" vertical="center"/>
    </xf>
    <xf numFmtId="0" fontId="19" fillId="0" borderId="36" pivotButton="0" quotePrefix="0" xfId="0"/>
    <xf numFmtId="0" fontId="30" fillId="0" borderId="36" pivotButton="0" quotePrefix="0" xfId="1"/>
    <xf numFmtId="166" fontId="29" fillId="0" borderId="36" applyAlignment="1" pivotButton="0" quotePrefix="0" xfId="0">
      <alignment horizontal="left" vertical="center"/>
    </xf>
    <xf numFmtId="167" fontId="29" fillId="0" borderId="36" applyAlignment="1" pivotButton="0" quotePrefix="0" xfId="0">
      <alignment horizontal="right" vertical="center"/>
    </xf>
    <xf numFmtId="0" fontId="29" fillId="0" borderId="36" applyAlignment="1" pivotButton="0" quotePrefix="0" xfId="0">
      <alignment horizontal="left" vertical="center" shrinkToFit="1"/>
    </xf>
    <xf numFmtId="0" fontId="29" fillId="0" borderId="37" applyAlignment="1" pivotButton="0" quotePrefix="0" xfId="0">
      <alignment horizontal="left" vertical="center" shrinkToFit="1"/>
    </xf>
    <xf numFmtId="0" fontId="29" fillId="0" borderId="36" applyAlignment="1" pivotButton="0" quotePrefix="0" xfId="1">
      <alignment horizontal="left" vertical="center" shrinkToFit="1"/>
    </xf>
    <xf numFmtId="0" fontId="30" fillId="3" borderId="36" applyAlignment="1" pivotButton="0" quotePrefix="0" xfId="1">
      <alignment horizontal="left" vertical="center" shrinkToFit="1"/>
    </xf>
    <xf numFmtId="4" fontId="29" fillId="0" borderId="37" applyAlignment="1" pivotButton="0" quotePrefix="0" xfId="2">
      <alignment horizontal="left" vertical="center"/>
    </xf>
    <xf numFmtId="0" fontId="29" fillId="0" borderId="38" applyAlignment="1" pivotButton="0" quotePrefix="0" xfId="0">
      <alignment horizontal="left" vertical="center" shrinkToFit="1"/>
    </xf>
    <xf numFmtId="0" fontId="29" fillId="0" borderId="36" pivotButton="0" quotePrefix="0" xfId="0"/>
    <xf numFmtId="167" fontId="29" fillId="0" borderId="36" applyAlignment="1" pivotButton="0" quotePrefix="0" xfId="0">
      <alignment horizontal="right"/>
    </xf>
    <xf numFmtId="0" fontId="29" fillId="0" borderId="40" pivotButton="0" quotePrefix="0" xfId="0"/>
    <xf numFmtId="0" fontId="29" fillId="0" borderId="40" applyAlignment="1" pivotButton="0" quotePrefix="0" xfId="0">
      <alignment horizontal="left"/>
    </xf>
    <xf numFmtId="0" fontId="30" fillId="0" borderId="40" pivotButton="0" quotePrefix="0" xfId="1"/>
    <xf numFmtId="167" fontId="29" fillId="0" borderId="40" applyAlignment="1" pivotButton="0" quotePrefix="0" xfId="0">
      <alignment horizontal="right" vertical="center"/>
    </xf>
    <xf numFmtId="0" fontId="19" fillId="0" borderId="41" pivotButton="0" quotePrefix="0" xfId="0"/>
    <xf numFmtId="0" fontId="29" fillId="0" borderId="42" pivotButton="0" quotePrefix="0" xfId="0"/>
    <xf numFmtId="167" fontId="29" fillId="0" borderId="42" applyAlignment="1" pivotButton="0" quotePrefix="0" xfId="0">
      <alignment horizontal="right"/>
    </xf>
    <xf numFmtId="167" fontId="14" fillId="3" borderId="43" applyAlignment="1" pivotButton="0" quotePrefix="0" xfId="0">
      <alignment horizontal="right" vertical="center" shrinkToFit="1"/>
    </xf>
    <xf numFmtId="4" fontId="14" fillId="3" borderId="39" applyAlignment="1" pivotButton="0" quotePrefix="0" xfId="0">
      <alignment horizontal="left" vertical="center" shrinkToFit="1"/>
    </xf>
    <xf numFmtId="0" fontId="29" fillId="2" borderId="24" applyAlignment="1" pivotButton="0" quotePrefix="0" xfId="0">
      <alignment horizontal="right" vertical="center" wrapText="1"/>
    </xf>
    <xf numFmtId="0" fontId="29" fillId="0" borderId="36" applyAlignment="1" pivotButton="0" quotePrefix="0" xfId="1">
      <alignment horizontal="right" vertical="center" shrinkToFit="1"/>
    </xf>
    <xf numFmtId="0" fontId="29" fillId="0" borderId="36" applyAlignment="1" pivotButton="0" quotePrefix="0" xfId="0">
      <alignment horizontal="right" vertical="center" shrinkToFit="1"/>
    </xf>
    <xf numFmtId="0" fontId="29" fillId="0" borderId="36" applyAlignment="1" pivotButton="0" quotePrefix="0" xfId="0">
      <alignment horizontal="right"/>
    </xf>
    <xf numFmtId="0" fontId="29" fillId="0" borderId="40" applyAlignment="1" pivotButton="0" quotePrefix="0" xfId="0">
      <alignment horizontal="right"/>
    </xf>
    <xf numFmtId="0" fontId="19" fillId="0" borderId="41" applyAlignment="1" pivotButton="0" quotePrefix="0" xfId="0">
      <alignment horizontal="right"/>
    </xf>
    <xf numFmtId="49" fontId="29" fillId="0" borderId="36" applyAlignment="1" pivotButton="0" quotePrefix="0" xfId="0">
      <alignment horizontal="right"/>
    </xf>
    <xf numFmtId="49" fontId="29" fillId="3" borderId="36" applyAlignment="1" pivotButton="0" quotePrefix="0" xfId="1">
      <alignment horizontal="right" vertical="center" shrinkToFit="1"/>
    </xf>
    <xf numFmtId="49" fontId="29" fillId="0" borderId="41" applyAlignment="1" pivotButton="0" quotePrefix="0" xfId="0">
      <alignment horizontal="right"/>
    </xf>
    <xf numFmtId="0" fontId="29" fillId="0" borderId="36" applyAlignment="1" pivotButton="0" quotePrefix="0" xfId="0">
      <alignment horizontal="left"/>
    </xf>
    <xf numFmtId="0" fontId="29" fillId="0" borderId="36" applyAlignment="1" pivotButton="0" quotePrefix="0" xfId="1">
      <alignment horizontal="left"/>
    </xf>
    <xf numFmtId="167" fontId="29" fillId="0" borderId="36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29" fillId="0" borderId="36" applyAlignment="1" pivotButton="0" quotePrefix="0" xfId="0">
      <alignment horizontal="left" shrinkToFit="1"/>
    </xf>
    <xf numFmtId="0" fontId="29" fillId="0" borderId="44" applyAlignment="1" pivotButton="0" quotePrefix="0" xfId="0">
      <alignment horizontal="left"/>
    </xf>
    <xf numFmtId="0" fontId="29" fillId="0" borderId="44" applyAlignment="1" pivotButton="0" quotePrefix="0" xfId="1">
      <alignment horizontal="left" shrinkToFit="1"/>
    </xf>
    <xf numFmtId="0" fontId="29" fillId="0" borderId="44" applyAlignment="1" pivotButton="0" quotePrefix="0" xfId="0">
      <alignment horizontal="left" vertical="center"/>
    </xf>
    <xf numFmtId="49" fontId="29" fillId="0" borderId="45" applyAlignment="1" pivotButton="0" quotePrefix="0" xfId="0">
      <alignment horizontal="left"/>
    </xf>
    <xf numFmtId="0" fontId="30" fillId="0" borderId="42" pivotButton="0" quotePrefix="0" xfId="1"/>
    <xf numFmtId="0" fontId="31" fillId="0" borderId="13" applyAlignment="1" pivotButton="0" quotePrefix="0" xfId="1">
      <alignment horizontal="left"/>
    </xf>
    <xf numFmtId="0" fontId="19" fillId="0" borderId="29" applyAlignment="1" pivotButton="0" quotePrefix="0" xfId="0">
      <alignment horizontal="left" vertical="center" shrinkToFit="1"/>
    </xf>
    <xf numFmtId="0" fontId="19" fillId="0" borderId="30" applyAlignment="1" pivotButton="0" quotePrefix="0" xfId="0">
      <alignment shrinkToFit="1"/>
    </xf>
    <xf numFmtId="0" fontId="19" fillId="0" borderId="13" applyAlignment="1" pivotButton="0" quotePrefix="0" xfId="0">
      <alignment horizontal="left" vertical="center" shrinkToFit="1"/>
    </xf>
    <xf numFmtId="0" fontId="19" fillId="0" borderId="13" applyAlignment="1" pivotButton="0" quotePrefix="0" xfId="0">
      <alignment shrinkToFit="1"/>
    </xf>
    <xf numFmtId="0" fontId="19" fillId="0" borderId="20" applyAlignment="1" pivotButton="0" quotePrefix="0" xfId="0">
      <alignment shrinkToFit="1"/>
    </xf>
    <xf numFmtId="0" fontId="19" fillId="0" borderId="31" applyAlignment="1" pivotButton="0" quotePrefix="0" xfId="0">
      <alignment horizontal="left" vertical="center"/>
    </xf>
    <xf numFmtId="0" fontId="19" fillId="0" borderId="31" pivotButton="0" quotePrefix="0" xfId="0"/>
    <xf numFmtId="0" fontId="19" fillId="0" borderId="32" pivotButton="0" quotePrefix="0" xfId="0"/>
    <xf numFmtId="0" fontId="19" fillId="0" borderId="12" applyAlignment="1" pivotButton="0" quotePrefix="0" xfId="0">
      <alignment horizontal="left" vertical="center"/>
    </xf>
    <xf numFmtId="0" fontId="19" fillId="0" borderId="33" applyAlignment="1" pivotButton="0" quotePrefix="0" xfId="0">
      <alignment horizontal="left" vertical="center"/>
    </xf>
    <xf numFmtId="0" fontId="19" fillId="0" borderId="13" applyAlignment="1" pivotButton="0" quotePrefix="0" xfId="0">
      <alignment horizontal="left" vertical="center"/>
    </xf>
    <xf numFmtId="0" fontId="19" fillId="0" borderId="14" applyAlignment="1" pivotButton="0" quotePrefix="0" xfId="0">
      <alignment horizontal="left" vertical="center"/>
    </xf>
    <xf numFmtId="0" fontId="19" fillId="0" borderId="34" applyAlignment="1" pivotButton="0" quotePrefix="0" xfId="0">
      <alignment horizontal="left" vertical="center"/>
    </xf>
    <xf numFmtId="0" fontId="19" fillId="0" borderId="2" applyAlignment="1" pivotButton="0" quotePrefix="0" xfId="0">
      <alignment horizontal="right" vertical="center"/>
    </xf>
    <xf numFmtId="0" fontId="19" fillId="0" borderId="30" pivotButton="0" quotePrefix="0" xfId="0"/>
    <xf numFmtId="0" fontId="19" fillId="0" borderId="35" pivotButton="0" quotePrefix="0" xfId="0"/>
    <xf numFmtId="0" fontId="19" fillId="0" borderId="3" applyAlignment="1" pivotButton="0" quotePrefix="0" xfId="0">
      <alignment horizontal="right" vertical="center"/>
    </xf>
    <xf numFmtId="0" fontId="19" fillId="0" borderId="17" pivotButton="0" quotePrefix="0" xfId="0"/>
    <xf numFmtId="0" fontId="19" fillId="0" borderId="21" pivotButton="0" quotePrefix="0" xfId="0"/>
    <xf numFmtId="0" fontId="19" fillId="0" borderId="17" applyAlignment="1" pivotButton="0" quotePrefix="0" xfId="0">
      <alignment horizontal="right" vertical="center"/>
    </xf>
    <xf numFmtId="0" fontId="19" fillId="0" borderId="21" applyAlignment="1" pivotButton="0" quotePrefix="0" xfId="0">
      <alignment horizontal="right" vertical="center"/>
    </xf>
    <xf numFmtId="0" fontId="0" fillId="0" borderId="30" pivotButton="0" quotePrefix="0" xfId="0"/>
    <xf numFmtId="0" fontId="0" fillId="0" borderId="35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48" pivotButton="0" quotePrefix="0" xfId="0"/>
    <xf numFmtId="0" fontId="0" fillId="0" borderId="49" pivotButton="0" quotePrefix="0" xfId="0"/>
    <xf numFmtId="166" fontId="29" fillId="0" borderId="36" applyAlignment="1" pivotButton="0" quotePrefix="0" xfId="0">
      <alignment horizontal="left" vertical="center"/>
    </xf>
    <xf numFmtId="168" fontId="29" fillId="0" borderId="36" applyAlignment="1" pivotButton="0" quotePrefix="0" xfId="0">
      <alignment horizontal="left" vertical="center"/>
    </xf>
    <xf numFmtId="168" fontId="29" fillId="0" borderId="36" applyAlignment="1" pivotButton="0" quotePrefix="0" xfId="0">
      <alignment horizontal="right" vertical="center"/>
    </xf>
    <xf numFmtId="168" fontId="29" fillId="0" borderId="40" applyAlignment="1" pivotButton="0" quotePrefix="0" xfId="0">
      <alignment horizontal="right" vertical="center"/>
    </xf>
    <xf numFmtId="168" fontId="29" fillId="0" borderId="36" applyAlignment="1" pivotButton="0" quotePrefix="0" xfId="0">
      <alignment horizontal="right"/>
    </xf>
    <xf numFmtId="168" fontId="29" fillId="0" borderId="42" applyAlignment="1" pivotButton="0" quotePrefix="0" xfId="0">
      <alignment horizontal="right"/>
    </xf>
    <xf numFmtId="168" fontId="14" fillId="3" borderId="43" applyAlignment="1" pivotButton="0" quotePrefix="0" xfId="0">
      <alignment horizontal="right" vertical="center" shrinkToFit="1"/>
    </xf>
  </cellXfs>
  <cellStyles count="3">
    <cellStyle name="Normal" xfId="0" builtinId="0"/>
    <cellStyle name="Hyperlink" xfId="1" builtinId="8"/>
    <cellStyle name="Normal 2" xfId="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9"/>
  <sheetViews>
    <sheetView tabSelected="1" zoomScale="49" zoomScaleNormal="49" workbookViewId="0">
      <selection activeCell="D13" sqref="D13"/>
    </sheetView>
  </sheetViews>
  <sheetFormatPr baseColWidth="8" defaultColWidth="10.96875" defaultRowHeight="12.75"/>
  <cols>
    <col width="5.42578125" customWidth="1" style="3" min="1" max="1"/>
    <col width="27.1328125" customWidth="1" min="2" max="2"/>
    <col width="27.95703125" customWidth="1" min="3" max="3"/>
    <col width="34.328125" customWidth="1" min="4" max="4"/>
    <col width="29.609375" customWidth="1" min="5" max="5"/>
    <col width="18.28515625" customWidth="1" min="6" max="6"/>
    <col width="19.46484375" customWidth="1" min="7" max="7"/>
    <col width="68.421875" customWidth="1" min="8" max="8"/>
    <col width="30.31640625" customWidth="1" style="46" min="9" max="9"/>
    <col width="24.65234375" customWidth="1" min="10" max="10"/>
    <col width="14.03515625" customWidth="1" min="11" max="11"/>
    <col width="27.95703125" customWidth="1" style="25" min="12" max="12"/>
    <col width="77.03515625" customWidth="1" min="13" max="13"/>
    <col width="0.1171875" customWidth="1" min="14" max="14"/>
    <col width="10.96875" customWidth="1" min="15" max="15"/>
    <col width="13.2109375" bestFit="1" customWidth="1" min="16" max="16"/>
  </cols>
  <sheetData>
    <row r="1" ht="56.25" customHeight="1">
      <c r="A1" s="2" t="n"/>
      <c r="B1" s="21" t="inlineStr">
        <is>
          <t>EMMETT  TECHNIQUE  INSTRUCTOR ADMINISTRATION SHEET</t>
        </is>
      </c>
      <c r="C1" s="22" t="n"/>
      <c r="D1" s="22" t="n"/>
      <c r="E1" s="22" t="n"/>
      <c r="F1" s="23" t="n"/>
      <c r="G1" s="23" t="n"/>
      <c r="H1" s="24" t="n"/>
      <c r="M1" s="6">
        <f>NOW()</f>
        <v/>
      </c>
    </row>
    <row r="2"/>
    <row r="3" ht="6" customHeight="1" thickBot="1"/>
    <row r="4" ht="44.25" customFormat="1" customHeight="1" s="4">
      <c r="A4" s="49" t="n"/>
      <c r="B4" s="50" t="inlineStr">
        <is>
          <t>COURSE/MOD</t>
        </is>
      </c>
      <c r="C4" s="115" t="n"/>
      <c r="D4" s="136" t="n"/>
      <c r="E4" s="136" t="n"/>
      <c r="F4" s="136" t="n"/>
      <c r="G4" s="136" t="n"/>
      <c r="H4" s="136" t="n"/>
      <c r="I4" s="136" t="n"/>
      <c r="J4" s="50" t="inlineStr">
        <is>
          <t>Instructor</t>
        </is>
      </c>
      <c r="K4" s="136" t="n"/>
      <c r="L4" s="137" t="n"/>
      <c r="M4" s="123" t="n"/>
      <c r="N4" s="137" t="n"/>
    </row>
    <row r="5" ht="44.25" customFormat="1" customHeight="1" s="4">
      <c r="A5" s="51" t="n"/>
      <c r="B5" s="52" t="inlineStr">
        <is>
          <t>LOCATION</t>
        </is>
      </c>
      <c r="C5" s="117" t="n"/>
      <c r="D5" s="138" t="n"/>
      <c r="E5" s="138" t="n"/>
      <c r="F5" s="138" t="n"/>
      <c r="G5" s="138" t="n"/>
      <c r="H5" s="138" t="n"/>
      <c r="I5" s="139" t="n"/>
      <c r="J5" s="52" t="inlineStr">
        <is>
          <t>Venue</t>
        </is>
      </c>
      <c r="K5" s="138" t="n"/>
      <c r="L5" s="139" t="n"/>
      <c r="M5" s="125" t="n"/>
      <c r="N5" s="139" t="n"/>
    </row>
    <row r="6" ht="50.25" customFormat="1" customHeight="1" s="4">
      <c r="A6" s="53" t="n"/>
      <c r="B6" s="54" t="inlineStr">
        <is>
          <t>DATES</t>
        </is>
      </c>
      <c r="C6" s="117" t="n"/>
      <c r="D6" s="138" t="n"/>
      <c r="E6" s="138" t="n"/>
      <c r="F6" s="138" t="n"/>
      <c r="G6" s="138" t="n"/>
      <c r="H6" s="138" t="n"/>
      <c r="I6" s="139" t="n"/>
      <c r="J6" s="52" t="inlineStr">
        <is>
          <t>Currency</t>
        </is>
      </c>
      <c r="K6" s="138" t="n"/>
      <c r="L6" s="139" t="n"/>
      <c r="M6" s="125" t="n"/>
      <c r="N6" s="139" t="n"/>
    </row>
    <row r="7" ht="45" customHeight="1" thickBot="1">
      <c r="A7" s="55" t="n"/>
      <c r="B7" s="56" t="n"/>
      <c r="C7" s="120" t="n"/>
      <c r="D7" s="140" t="n"/>
      <c r="E7" s="140" t="n"/>
      <c r="F7" s="140" t="n"/>
      <c r="G7" s="140" t="n"/>
      <c r="H7" s="140" t="n"/>
      <c r="I7" s="141" t="n"/>
      <c r="J7" s="57" t="n"/>
      <c r="K7" s="58" t="n"/>
      <c r="L7" s="59" t="inlineStr">
        <is>
          <t>Table Totals</t>
        </is>
      </c>
      <c r="M7" s="120" t="n"/>
      <c r="N7" s="141" t="n"/>
    </row>
    <row r="8" ht="24" customHeight="1" thickBot="1">
      <c r="A8" s="60" t="n"/>
      <c r="B8" s="61" t="n"/>
      <c r="C8" s="61" t="n"/>
      <c r="D8" s="61" t="n"/>
      <c r="E8" s="61" t="n"/>
      <c r="F8" s="61" t="n"/>
      <c r="G8" s="61" t="n"/>
      <c r="H8" s="61" t="n"/>
      <c r="I8" s="62" t="n"/>
      <c r="J8" s="61" t="n"/>
      <c r="K8" s="61" t="n"/>
      <c r="L8" s="63" t="n"/>
      <c r="M8" s="61" t="n"/>
      <c r="N8" s="61" t="n"/>
    </row>
    <row r="9" ht="78.75" customFormat="1" customHeight="1" s="7" thickBot="1">
      <c r="A9" s="64" t="n"/>
      <c r="B9" s="65" t="inlineStr">
        <is>
          <t>First name</t>
        </is>
      </c>
      <c r="C9" s="66" t="inlineStr">
        <is>
          <t>Last Name</t>
        </is>
      </c>
      <c r="D9" s="66" t="inlineStr">
        <is>
          <t xml:space="preserve">Street </t>
        </is>
      </c>
      <c r="E9" s="66" t="inlineStr">
        <is>
          <t xml:space="preserve">City/ Town </t>
        </is>
      </c>
      <c r="F9" s="67" t="inlineStr">
        <is>
          <t>State/  Province</t>
        </is>
      </c>
      <c r="G9" s="94" t="inlineStr">
        <is>
          <t xml:space="preserve">Post/Zip Code </t>
        </is>
      </c>
      <c r="H9" s="67" t="inlineStr">
        <is>
          <t>Email Address</t>
        </is>
      </c>
      <c r="I9" s="68" t="inlineStr">
        <is>
          <t>Mobile Ph</t>
        </is>
      </c>
      <c r="J9" s="67" t="inlineStr">
        <is>
          <t>Country</t>
        </is>
      </c>
      <c r="K9" s="67" t="inlineStr">
        <is>
          <t xml:space="preserve">New (N) or Revised (R) </t>
        </is>
      </c>
      <c r="L9" s="69" t="inlineStr">
        <is>
          <t>Payment Received</t>
        </is>
      </c>
      <c r="M9" s="70" t="inlineStr">
        <is>
          <t>NOTES</t>
        </is>
      </c>
      <c r="N9" s="71" t="n"/>
    </row>
    <row r="10" ht="36.95" customFormat="1" customHeight="1" s="107">
      <c r="A10" s="49" t="n">
        <v>1</v>
      </c>
      <c r="B10" s="103" t="n"/>
      <c r="C10" s="103" t="n"/>
      <c r="D10" s="103" t="n"/>
      <c r="E10" s="103" t="n"/>
      <c r="F10" s="104" t="n"/>
      <c r="G10" s="109" t="n"/>
      <c r="H10" s="114" t="n"/>
      <c r="I10" s="112" t="n"/>
      <c r="J10" s="103" t="n"/>
      <c r="K10" s="142" t="n"/>
      <c r="L10" s="143" t="n"/>
      <c r="M10" s="106" t="n"/>
      <c r="N10" s="106" t="n"/>
    </row>
    <row r="11" ht="36.95" customFormat="1" customHeight="1" s="107">
      <c r="A11" s="51" t="n">
        <v>2</v>
      </c>
      <c r="B11" s="103" t="n"/>
      <c r="C11" s="103" t="n"/>
      <c r="D11" s="103" t="n"/>
      <c r="E11" s="103" t="n"/>
      <c r="F11" s="108" t="n"/>
      <c r="G11" s="110" t="n"/>
      <c r="H11" s="114" t="n"/>
      <c r="I11" s="112" t="n"/>
      <c r="J11" s="103" t="n"/>
      <c r="K11" s="142" t="n"/>
      <c r="L11" s="143" t="n"/>
      <c r="M11" s="78" t="n"/>
      <c r="N11" s="106" t="n"/>
    </row>
    <row r="12" ht="35.1" customFormat="1" customHeight="1" s="107">
      <c r="A12" s="51" t="n">
        <v>3</v>
      </c>
      <c r="B12" s="103" t="n"/>
      <c r="C12" s="103" t="n"/>
      <c r="D12" s="103" t="n"/>
      <c r="E12" s="77" t="n"/>
      <c r="F12" s="77" t="n"/>
      <c r="G12" s="111" t="n"/>
      <c r="H12" s="114" t="n"/>
      <c r="I12" s="112" t="n"/>
      <c r="J12" s="72" t="n"/>
      <c r="K12" s="142" t="n"/>
      <c r="L12" s="143" t="n"/>
      <c r="M12" s="78" t="n"/>
      <c r="N12" s="106" t="n"/>
    </row>
    <row r="13" ht="36.95" customHeight="1">
      <c r="A13" s="51" t="n">
        <v>4</v>
      </c>
      <c r="B13" s="103" t="n"/>
      <c r="C13" s="83" t="n"/>
      <c r="D13" s="103" t="n"/>
      <c r="E13" s="77" t="n"/>
      <c r="F13" s="79" t="n"/>
      <c r="G13" s="96" t="n"/>
      <c r="H13" s="113" t="n"/>
      <c r="I13" s="100" t="n"/>
      <c r="J13" s="72" t="n"/>
      <c r="K13" s="142" t="n"/>
      <c r="L13" s="144" t="n"/>
      <c r="M13" s="78" t="n"/>
      <c r="N13" s="61" t="n"/>
    </row>
    <row r="14" ht="36.95" customHeight="1">
      <c r="A14" s="51" t="n">
        <v>5</v>
      </c>
      <c r="B14" s="83" t="n"/>
      <c r="C14" s="83" t="n"/>
      <c r="D14" s="83" t="n"/>
      <c r="E14" s="83" t="n"/>
      <c r="F14" s="77" t="n"/>
      <c r="G14" s="97" t="n"/>
      <c r="H14" s="74" t="n"/>
      <c r="I14" s="100" t="n"/>
      <c r="J14" s="72" t="n"/>
      <c r="K14" s="142" t="n"/>
      <c r="L14" s="144" t="n"/>
      <c r="M14" s="78" t="n"/>
      <c r="N14" s="61" t="n"/>
    </row>
    <row r="15" ht="36.95" customHeight="1">
      <c r="A15" s="51" t="n">
        <v>6</v>
      </c>
      <c r="B15" s="83" t="n"/>
      <c r="C15" s="83" t="n"/>
      <c r="D15" s="83" t="n"/>
      <c r="E15" s="83" t="n"/>
      <c r="F15" s="79" t="n"/>
      <c r="G15" s="97" t="n"/>
      <c r="H15" s="74" t="n"/>
      <c r="I15" s="100" t="n"/>
      <c r="J15" s="72" t="n"/>
      <c r="K15" s="142" t="n"/>
      <c r="L15" s="144" t="n"/>
      <c r="M15" s="78" t="n"/>
      <c r="N15" s="61" t="n"/>
    </row>
    <row r="16" ht="36.95" customHeight="1">
      <c r="A16" s="51" t="n">
        <v>7</v>
      </c>
      <c r="B16" s="83" t="n"/>
      <c r="C16" s="83" t="n"/>
      <c r="D16" s="83" t="n"/>
      <c r="E16" s="83" t="n"/>
      <c r="F16" s="77" t="n"/>
      <c r="G16" s="97" t="n"/>
      <c r="H16" s="74" t="n"/>
      <c r="I16" s="100" t="n"/>
      <c r="J16" s="72" t="n"/>
      <c r="K16" s="142" t="n"/>
      <c r="L16" s="144" t="n"/>
      <c r="M16" s="78" t="n"/>
      <c r="N16" s="61" t="n"/>
    </row>
    <row r="17" ht="36.95" customHeight="1">
      <c r="A17" s="51" t="n">
        <v>8</v>
      </c>
      <c r="B17" s="83" t="n"/>
      <c r="C17" s="83" t="n"/>
      <c r="D17" s="83" t="n"/>
      <c r="E17" s="83" t="n"/>
      <c r="F17" s="77" t="n"/>
      <c r="G17" s="97" t="n"/>
      <c r="H17" s="74" t="n"/>
      <c r="I17" s="100" t="n"/>
      <c r="J17" s="72" t="n"/>
      <c r="K17" s="142" t="n"/>
      <c r="L17" s="144" t="n"/>
      <c r="M17" s="78" t="n"/>
      <c r="N17" s="61" t="n"/>
    </row>
    <row r="18" ht="36.95" customHeight="1">
      <c r="A18" s="51" t="n">
        <v>9</v>
      </c>
      <c r="B18" s="83" t="n"/>
      <c r="C18" s="83" t="n"/>
      <c r="D18" s="83" t="n"/>
      <c r="E18" s="83" t="n"/>
      <c r="F18" s="72" t="n"/>
      <c r="G18" s="97" t="n"/>
      <c r="H18" s="74" t="n"/>
      <c r="I18" s="97" t="n"/>
      <c r="J18" s="72" t="n"/>
      <c r="K18" s="142" t="n"/>
      <c r="L18" s="144" t="n"/>
      <c r="M18" s="78" t="n"/>
      <c r="N18" s="61" t="n"/>
    </row>
    <row r="19" ht="36.95" customHeight="1">
      <c r="A19" s="51" t="n">
        <v>10</v>
      </c>
      <c r="B19" s="83" t="n"/>
      <c r="C19" s="83" t="n"/>
      <c r="D19" s="83" t="n"/>
      <c r="E19" s="77" t="n"/>
      <c r="F19" s="79" t="n"/>
      <c r="G19" s="96" t="n"/>
      <c r="H19" s="74" t="n"/>
      <c r="I19" s="100" t="n"/>
      <c r="J19" s="72" t="n"/>
      <c r="K19" s="142" t="n"/>
      <c r="L19" s="144" t="n"/>
      <c r="M19" s="78" t="n"/>
      <c r="N19" s="61" t="n"/>
    </row>
    <row r="20" ht="36.95" customHeight="1">
      <c r="A20" s="51" t="n">
        <v>11</v>
      </c>
      <c r="B20" s="83" t="n"/>
      <c r="C20" s="83" t="n"/>
      <c r="D20" s="83" t="n"/>
      <c r="E20" s="83" t="n"/>
      <c r="F20" s="77" t="n"/>
      <c r="G20" s="97" t="n"/>
      <c r="H20" s="74" t="n"/>
      <c r="I20" s="100" t="n"/>
      <c r="J20" s="72" t="n"/>
      <c r="K20" s="142" t="n"/>
      <c r="L20" s="144" t="n"/>
      <c r="M20" s="78" t="n"/>
      <c r="N20" s="61" t="n"/>
    </row>
    <row r="21" ht="36.95" customHeight="1">
      <c r="A21" s="51" t="n">
        <v>12</v>
      </c>
      <c r="B21" s="83" t="n"/>
      <c r="C21" s="83" t="n"/>
      <c r="D21" s="83" t="n"/>
      <c r="E21" s="83" t="n"/>
      <c r="F21" s="79" t="n"/>
      <c r="G21" s="97" t="n"/>
      <c r="H21" s="74" t="n"/>
      <c r="I21" s="100" t="n"/>
      <c r="J21" s="72" t="n"/>
      <c r="K21" s="142" t="n"/>
      <c r="L21" s="144" t="n"/>
      <c r="M21" s="78" t="n"/>
      <c r="N21" s="61" t="n"/>
    </row>
    <row r="22" ht="36.95" customHeight="1">
      <c r="A22" s="51" t="n">
        <v>13</v>
      </c>
      <c r="B22" s="77" t="n"/>
      <c r="C22" s="77" t="n"/>
      <c r="D22" s="77" t="n"/>
      <c r="E22" s="77" t="n"/>
      <c r="F22" s="77" t="n"/>
      <c r="G22" s="95" t="n"/>
      <c r="H22" s="80" t="n"/>
      <c r="I22" s="101" t="n"/>
      <c r="J22" s="72" t="n"/>
      <c r="K22" s="142" t="n"/>
      <c r="L22" s="144" t="n"/>
      <c r="M22" s="78" t="n"/>
      <c r="N22" s="61" t="n"/>
    </row>
    <row r="23" ht="36.95" customHeight="1">
      <c r="A23" s="51" t="n">
        <v>14</v>
      </c>
      <c r="B23" s="77" t="n"/>
      <c r="C23" s="77" t="n"/>
      <c r="D23" s="77" t="n"/>
      <c r="E23" s="77" t="n"/>
      <c r="F23" s="77" t="n"/>
      <c r="G23" s="95" t="n"/>
      <c r="H23" s="80" t="n"/>
      <c r="I23" s="101" t="n"/>
      <c r="J23" s="72" t="n"/>
      <c r="K23" s="142" t="n"/>
      <c r="L23" s="144" t="n"/>
      <c r="M23" s="81" t="n"/>
      <c r="N23" s="61" t="n"/>
    </row>
    <row r="24" ht="36.95" customHeight="1">
      <c r="A24" s="51" t="n">
        <v>15</v>
      </c>
      <c r="B24" s="83" t="n"/>
      <c r="C24" s="83" t="n"/>
      <c r="D24" s="83" t="n"/>
      <c r="E24" s="83" t="n"/>
      <c r="F24" s="77" t="n"/>
      <c r="G24" s="97" t="n"/>
      <c r="H24" s="74" t="n"/>
      <c r="I24" s="97" t="n"/>
      <c r="J24" s="72" t="n"/>
      <c r="K24" s="142" t="n"/>
      <c r="L24" s="144" t="n"/>
      <c r="M24" s="78" t="n"/>
      <c r="N24" s="61" t="n"/>
    </row>
    <row r="25" ht="36.95" customHeight="1">
      <c r="A25" s="51" t="n">
        <v>16</v>
      </c>
      <c r="B25" s="83" t="n"/>
      <c r="C25" s="83" t="n"/>
      <c r="D25" s="83" t="n"/>
      <c r="E25" s="83" t="n"/>
      <c r="F25" s="77" t="n"/>
      <c r="G25" s="97" t="n"/>
      <c r="H25" s="74" t="n"/>
      <c r="I25" s="97" t="n"/>
      <c r="J25" s="72" t="n"/>
      <c r="K25" s="142" t="n"/>
      <c r="L25" s="144" t="n"/>
      <c r="M25" s="81" t="n"/>
      <c r="N25" s="61" t="n"/>
    </row>
    <row r="26" ht="36.95" customHeight="1">
      <c r="A26" s="51" t="n">
        <v>17</v>
      </c>
      <c r="B26" s="85" t="n"/>
      <c r="C26" s="85" t="n"/>
      <c r="D26" s="85" t="n"/>
      <c r="E26" s="85" t="n"/>
      <c r="F26" s="86" t="n"/>
      <c r="G26" s="98" t="n"/>
      <c r="H26" s="87" t="n"/>
      <c r="I26" s="98" t="n"/>
      <c r="J26" s="72" t="n"/>
      <c r="K26" s="142" t="n"/>
      <c r="L26" s="145" t="n"/>
      <c r="M26" s="78" t="n"/>
      <c r="N26" s="61" t="n"/>
    </row>
    <row r="27" ht="36.95" customHeight="1">
      <c r="A27" s="51" t="n">
        <v>18</v>
      </c>
      <c r="B27" s="83" t="n"/>
      <c r="C27" s="83" t="n"/>
      <c r="D27" s="83" t="n"/>
      <c r="E27" s="83" t="n"/>
      <c r="F27" s="83" t="n"/>
      <c r="G27" s="97" t="n"/>
      <c r="H27" s="73" t="n"/>
      <c r="I27" s="100" t="n"/>
      <c r="J27" s="72" t="n"/>
      <c r="K27" s="142" t="n"/>
      <c r="L27" s="146" t="n"/>
      <c r="M27" s="78" t="n"/>
      <c r="N27" s="61" t="n"/>
    </row>
    <row r="28" ht="36.95" customHeight="1" thickBot="1">
      <c r="A28" s="51" t="n">
        <v>19</v>
      </c>
      <c r="B28" s="89" t="n"/>
      <c r="C28" s="89" t="n"/>
      <c r="D28" s="89" t="n"/>
      <c r="E28" s="89" t="n"/>
      <c r="F28" s="89" t="n"/>
      <c r="G28" s="99" t="n"/>
      <c r="H28" s="89" t="n"/>
      <c r="I28" s="102" t="n"/>
      <c r="J28" s="90" t="n"/>
      <c r="K28" s="90" t="n"/>
      <c r="L28" s="147" t="n"/>
      <c r="M28" s="82" t="n"/>
      <c r="N28" s="61" t="n"/>
    </row>
    <row r="29" ht="50.25" customHeight="1" thickBot="1">
      <c r="A29" s="48" t="n"/>
      <c r="B29" s="44" t="n"/>
      <c r="C29" s="44" t="n"/>
      <c r="D29" s="44" t="n"/>
      <c r="E29" s="1" t="n"/>
      <c r="F29" s="1" t="n"/>
      <c r="G29" s="1" t="n"/>
      <c r="H29" s="45" t="n"/>
      <c r="I29" s="44" t="n"/>
      <c r="J29" s="15" t="n"/>
      <c r="K29" s="16" t="n"/>
      <c r="L29" s="148" t="n"/>
      <c r="M29" s="93" t="n"/>
      <c r="N29" s="38">
        <f>SUM(L10:L24)</f>
        <v/>
      </c>
    </row>
    <row r="30" ht="33.95" customHeight="1">
      <c r="A30" s="1" t="n"/>
      <c r="B30" s="44" t="n"/>
      <c r="C30" s="44" t="n"/>
      <c r="D30" s="44" t="n"/>
      <c r="E30" s="44" t="n"/>
      <c r="G30" s="44" t="n"/>
      <c r="H30" s="45" t="n"/>
      <c r="I30" s="44" t="n"/>
      <c r="J30" s="39" t="inlineStr">
        <is>
          <t>Total Income</t>
        </is>
      </c>
      <c r="K30" s="40" t="n"/>
      <c r="L30" s="42">
        <f>SUM(L10:L29)</f>
        <v/>
      </c>
      <c r="M30" s="41" t="n"/>
      <c r="N30" s="17" t="n"/>
    </row>
    <row r="31" ht="36.95" customHeight="1">
      <c r="A31" s="8" t="n"/>
      <c r="B31" s="44" t="n"/>
      <c r="C31" s="44" t="n"/>
      <c r="D31" s="44" t="n"/>
      <c r="E31" s="44" t="n"/>
      <c r="G31" s="44" t="n"/>
      <c r="H31" s="45" t="n"/>
      <c r="I31" s="44" t="n"/>
      <c r="J31" s="37" t="inlineStr">
        <is>
          <t>VAT</t>
        </is>
      </c>
      <c r="K31" s="43" t="n">
        <v>0</v>
      </c>
      <c r="L31" s="42">
        <f>L30/119*K31</f>
        <v/>
      </c>
      <c r="M31" s="17" t="n"/>
      <c r="N31" s="17" t="n"/>
    </row>
    <row r="32" ht="36.95" customHeight="1">
      <c r="A32" s="8" t="n"/>
      <c r="J32" s="36" t="inlineStr">
        <is>
          <t>Income minus VAT x%</t>
        </is>
      </c>
      <c r="L32" s="42">
        <f>L30-L31</f>
        <v/>
      </c>
      <c r="M32" s="17" t="n"/>
      <c r="N32" s="17" t="n"/>
    </row>
    <row r="33" ht="36.95" customHeight="1">
      <c r="A33" s="8" t="n"/>
      <c r="B33" s="12" t="n"/>
      <c r="C33" s="9" t="n"/>
      <c r="D33" s="1" t="n"/>
      <c r="E33" s="1" t="n"/>
      <c r="F33" s="1" t="n"/>
      <c r="G33" s="1" t="n"/>
      <c r="H33" s="1" t="n"/>
      <c r="I33" s="47" t="n"/>
      <c r="J33" s="19" t="inlineStr">
        <is>
          <t>Commission Emmett (15 %)</t>
        </is>
      </c>
      <c r="K33" s="19" t="n"/>
      <c r="L33" s="42">
        <f>L32*0.15</f>
        <v/>
      </c>
      <c r="M33" s="17" t="n"/>
      <c r="N33" s="17" t="n"/>
    </row>
    <row r="34" ht="36.95" customHeight="1">
      <c r="A34" s="8" t="n"/>
      <c r="B34" s="12" t="n"/>
      <c r="C34" s="9" t="n"/>
      <c r="D34" s="1" t="n"/>
      <c r="E34" s="1" t="n"/>
      <c r="F34" s="1" t="n"/>
      <c r="G34" s="1" t="n"/>
      <c r="H34" s="1" t="n"/>
      <c r="I34" s="47" t="n"/>
      <c r="J34" s="20" t="inlineStr">
        <is>
          <t>Commission Bord (5%)</t>
        </is>
      </c>
      <c r="K34" s="19" t="n"/>
      <c r="L34" s="42">
        <f>L32*0.05</f>
        <v/>
      </c>
      <c r="M34" s="17" t="n"/>
      <c r="N34" s="17" t="n"/>
    </row>
    <row r="35" ht="41.1" customHeight="1">
      <c r="A35" s="8" t="n"/>
      <c r="B35" s="12" t="n"/>
      <c r="C35" s="9" t="n"/>
      <c r="D35" s="1" t="n"/>
      <c r="E35" s="1" t="n"/>
      <c r="F35" s="1" t="n"/>
      <c r="G35" s="1" t="n"/>
      <c r="H35" s="1" t="n"/>
      <c r="I35" s="47" t="n"/>
      <c r="J35" s="30" t="inlineStr">
        <is>
          <t>Commission Rep. (5%)</t>
        </is>
      </c>
      <c r="K35" s="32" t="n"/>
      <c r="L35" s="42">
        <f>L32*0.05</f>
        <v/>
      </c>
      <c r="M35" s="27" t="n"/>
      <c r="N35" s="17" t="n"/>
    </row>
    <row r="36" ht="35.1" customHeight="1">
      <c r="A36" s="13" t="n"/>
      <c r="B36" s="13" t="n"/>
      <c r="C36" s="5" t="n"/>
      <c r="J36" s="33" t="inlineStr">
        <is>
          <t xml:space="preserve">Income </t>
        </is>
      </c>
      <c r="K36" s="132" t="n"/>
      <c r="L36" s="42">
        <f>L32-L33-L34-L35</f>
        <v/>
      </c>
      <c r="M36" s="34" t="n"/>
      <c r="N36" s="34" t="n"/>
    </row>
    <row r="37" ht="30" customHeight="1">
      <c r="A37" s="13" t="n"/>
      <c r="B37" s="11" t="n"/>
      <c r="C37" s="5" t="n"/>
      <c r="J37" s="31" t="n"/>
      <c r="K37" s="31" t="n"/>
      <c r="L37" s="29" t="n"/>
      <c r="M37" s="28" t="n"/>
      <c r="N37" s="18" t="n"/>
    </row>
    <row r="38" ht="18" customHeight="1">
      <c r="A38" s="10" t="n"/>
      <c r="B38" s="11" t="n"/>
      <c r="C38" s="5" t="n"/>
      <c r="J38" s="14" t="n"/>
      <c r="K38" s="14" t="n"/>
      <c r="L38" s="26" t="n"/>
      <c r="M38" s="14" t="n"/>
      <c r="N38" s="14" t="n"/>
    </row>
    <row r="39" ht="18" customHeight="1">
      <c r="A39" s="10" t="n"/>
    </row>
  </sheetData>
  <mergeCells count="11">
    <mergeCell ref="J5:L5"/>
    <mergeCell ref="M7:N7"/>
    <mergeCell ref="J6:L6"/>
    <mergeCell ref="M6:N6"/>
    <mergeCell ref="C4:I4"/>
    <mergeCell ref="C6:I6"/>
    <mergeCell ref="C7:I7"/>
    <mergeCell ref="M5:N5"/>
    <mergeCell ref="J4:L4"/>
    <mergeCell ref="M4:N4"/>
    <mergeCell ref="C5:I5"/>
  </mergeCells>
  <pageMargins left="0.1968503937007874" right="0.1968503937007874" top="0.3937007874015748" bottom="0.3937007874015748" header="0.5118110236220472" footer="0.5118110236220472"/>
  <pageSetup orientation="landscape" paperSize="9" scale="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&amp; Ross Emmett</dc:creator>
  <dcterms:created xsi:type="dcterms:W3CDTF">2010-02-25T02:29:58Z</dcterms:created>
  <dcterms:modified xsi:type="dcterms:W3CDTF">2026-08-19T09:55:28Z</dcterms:modified>
  <cp:lastModifiedBy>info@propriocentar.com</cp:lastModifiedBy>
  <cp:lastPrinted>2020-11-16T17:13:57Z</cp:lastPrinted>
</cp:coreProperties>
</file>